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  <sheet name="Tabelle2" sheetId="2" state="visible" r:id="rId3"/>
    <sheet name="Tabelle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<sst xmlns="http://schemas.openxmlformats.org/spreadsheetml/2006/main" count="66" uniqueCount="54">
  <si>
    <t xml:space="preserve">PCR FALSE POSITIVE CALCULATOR</t>
  </si>
  <si>
    <t xml:space="preserve">by Christopher Yoon, MSc. </t>
  </si>
  <si>
    <t xml:space="preserve"> </t>
  </si>
  <si>
    <t xml:space="preserve">N / %</t>
  </si>
  <si>
    <t xml:space="preserve">Info</t>
  </si>
  <si>
    <t xml:space="preserve">Total number of tested individuals</t>
  </si>
  <si>
    <t xml:space="preserve">Infection rate</t>
  </si>
  <si>
    <t xml:space="preserve">%</t>
  </si>
  <si>
    <t xml:space="preserve">The share of infected individuals of tested population</t>
  </si>
  <si>
    <t xml:space="preserve">Number of infected individuals</t>
  </si>
  <si>
    <t xml:space="preserve">Number of non-infected individuals</t>
  </si>
  <si>
    <t xml:space="preserve">in %</t>
  </si>
  <si>
    <t xml:space="preserve">TRUE</t>
  </si>
  <si>
    <t xml:space="preserve">FALSE</t>
  </si>
  <si>
    <t xml:space="preserve">PCR Sensitivity</t>
  </si>
  <si>
    <t xml:space="preserve">Sensitivity measures how much percent of infected individuals get correctly tested, e.g. a sensitivity of 99 means that 99/100 individuals get a correct positive test, one infected indidividual </t>
  </si>
  <si>
    <t xml:space="preserve">PCR Specifity</t>
  </si>
  <si>
    <t xml:space="preserve">Specifity measures how much percent of non-infected individuals get a correct negative test, e.g. a specifity of 99 % means that 99/100 individuals get a correct negative test, one individual get a false positive test.</t>
  </si>
  <si>
    <t xml:space="preserve">According to the official ring experiment in Germany, the average specifity of PCR tests in Germany is 98.5 %</t>
  </si>
  <si>
    <t xml:space="preserve">Total number of positive tests</t>
  </si>
  <si>
    <t xml:space="preserve">Share of false positive tests</t>
  </si>
  <si>
    <t xml:space="preserve">Share of false positive tests in the total number of positive tests</t>
  </si>
  <si>
    <t xml:space="preserve">Country</t>
  </si>
  <si>
    <t xml:space="preserve">Number of tests</t>
  </si>
  <si>
    <t xml:space="preserve">Number of positive tests</t>
  </si>
  <si>
    <t xml:space="preserve">Testing/Cases Ratio</t>
  </si>
  <si>
    <t xml:space="preserve">Austria </t>
  </si>
  <si>
    <t xml:space="preserve">Stand 7. Juli 2020</t>
  </si>
  <si>
    <t xml:space="preserve">Germany</t>
  </si>
  <si>
    <t xml:space="preserve">Specified 2-Step Verification Test</t>
  </si>
  <si>
    <t xml:space="preserve">Tests are searching for 2 gene sequences and have three results: positive, negative and invalid</t>
  </si>
  <si>
    <t xml:space="preserve">Gene Sequences</t>
  </si>
  <si>
    <t xml:space="preserve">Positive</t>
  </si>
  <si>
    <t xml:space="preserve">Inconclusive</t>
  </si>
  <si>
    <t xml:space="preserve">Negative</t>
  </si>
  <si>
    <t xml:space="preserve">Unspecified 2-Step Verification (recommended by WHO)</t>
  </si>
  <si>
    <t xml:space="preserve">19. Okt</t>
  </si>
  <si>
    <t xml:space="preserve">20. Okt</t>
  </si>
  <si>
    <t xml:space="preserve">21. Okt</t>
  </si>
  <si>
    <t xml:space="preserve">29. Okt</t>
  </si>
  <si>
    <t xml:space="preserve">22. Okt</t>
  </si>
  <si>
    <t xml:space="preserve">28. Okt</t>
  </si>
  <si>
    <t xml:space="preserve">23. Okt</t>
  </si>
  <si>
    <t xml:space="preserve">27. Okt</t>
  </si>
  <si>
    <t xml:space="preserve">24. Okt</t>
  </si>
  <si>
    <t xml:space="preserve">26. Okt</t>
  </si>
  <si>
    <t xml:space="preserve">25. Okt</t>
  </si>
  <si>
    <t xml:space="preserve">29. Juni</t>
  </si>
  <si>
    <t xml:space="preserve">30. Juni</t>
  </si>
  <si>
    <t xml:space="preserve">1. August</t>
  </si>
  <si>
    <t xml:space="preserve">2. August</t>
  </si>
  <si>
    <t xml:space="preserve">3. August</t>
  </si>
  <si>
    <t xml:space="preserve">4. August</t>
  </si>
  <si>
    <t xml:space="preserve">5. August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</si>
</sst>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FreeSans"/>
      <family val="2"/>
      <charset val="1"/>
    </font>
    <font>
      <b val="true"/>
      <sz val="10"/>
      <color rgb="FFFFFFFF"/>
      <name val="Free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0012BB"/>
        <bgColor rgb="FF000080"/>
      </patternFill>
    </fill>
    <fill>
      <patternFill patternType="solid">
        <fgColor rgb="FF83CAFF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12BB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5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11" activeCellId="0" sqref="L11"/>
    </sheetView>
  </sheetViews>
  <sheetFormatPr defaultColWidth="9.73046875" defaultRowHeight="12.8" zeroHeight="false" outlineLevelRow="0" outlineLevelCol="0"/>
  <cols>
    <col collapsed="false" customWidth="false" hidden="false" outlineLevel="0" max="1" min="1" style="1" width="9.72"/>
    <col collapsed="false" customWidth="true" hidden="false" outlineLevel="0" max="2" min="2" style="1" width="34.42"/>
    <col collapsed="false" customWidth="true" hidden="false" outlineLevel="0" max="3" min="3" style="1" width="15.53"/>
    <col collapsed="false" customWidth="true" hidden="false" outlineLevel="0" max="4" min="4" style="1" width="15.12"/>
    <col collapsed="false" customWidth="true" hidden="false" outlineLevel="0" max="5" min="5" style="1" width="15.53"/>
    <col collapsed="false" customWidth="true" hidden="false" outlineLevel="0" max="6" min="6" style="1" width="3.58"/>
    <col collapsed="false" customWidth="true" hidden="false" outlineLevel="0" max="7" min="7" style="1" width="3.93"/>
    <col collapsed="false" customWidth="true" hidden="false" outlineLevel="0" max="8" min="8" style="1" width="3.37"/>
    <col collapsed="false" customWidth="false" hidden="false" outlineLevel="0" max="1024" min="9" style="1" width="9.72"/>
  </cols>
  <sheetData>
    <row r="1" customFormat="false" ht="12.8" hidden="false" customHeight="false" outlineLevel="0" collapsed="false">
      <c r="A1" s="0"/>
      <c r="B1" s="2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</row>
    <row r="2" customFormat="false" ht="12.8" hidden="false" customHeight="false" outlineLevel="0" collapsed="false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2.8" hidden="false" customHeight="false" outlineLevel="0" collapsed="false">
      <c r="A3" s="0"/>
      <c r="B3" s="1" t="s">
        <v>1</v>
      </c>
      <c r="C3" s="0"/>
      <c r="D3" s="0"/>
      <c r="E3" s="0"/>
      <c r="F3" s="0"/>
      <c r="G3" s="0"/>
      <c r="J3" s="0"/>
    </row>
    <row r="4" customFormat="false" ht="12.8" hidden="false" customHeight="false" outlineLevel="0" collapsed="false">
      <c r="A4" s="0"/>
      <c r="B4" s="0"/>
      <c r="C4" s="0"/>
      <c r="D4" s="0"/>
      <c r="E4" s="0"/>
      <c r="F4" s="0"/>
      <c r="G4" s="0"/>
      <c r="J4" s="0"/>
    </row>
    <row r="5" customFormat="false" ht="12.8" hidden="false" customHeight="false" outlineLevel="0" collapsed="false">
      <c r="A5" s="0"/>
      <c r="B5" s="0"/>
      <c r="C5" s="0"/>
      <c r="D5" s="0"/>
      <c r="E5" s="0"/>
      <c r="F5" s="0"/>
      <c r="G5" s="0"/>
      <c r="J5" s="0"/>
    </row>
    <row r="6" customFormat="false" ht="13.8" hidden="false" customHeight="false" outlineLevel="0" collapsed="false">
      <c r="A6" s="0"/>
      <c r="B6" s="1" t="s">
        <v>2</v>
      </c>
      <c r="C6" s="3" t="s">
        <v>3</v>
      </c>
      <c r="D6" s="0"/>
      <c r="E6" s="0"/>
      <c r="F6" s="0"/>
      <c r="G6" s="0"/>
      <c r="J6" s="1" t="s">
        <v>4</v>
      </c>
    </row>
    <row r="7" customFormat="false" ht="13.8" hidden="false" customHeight="false" outlineLevel="0" collapsed="false">
      <c r="A7" s="0"/>
      <c r="B7" s="3" t="s">
        <v>5</v>
      </c>
      <c r="C7" s="1" t="n">
        <v>100000</v>
      </c>
      <c r="D7" s="0"/>
      <c r="F7" s="0"/>
      <c r="G7" s="0"/>
      <c r="J7" s="0"/>
    </row>
    <row r="8" customFormat="false" ht="13.8" hidden="false" customHeight="false" outlineLevel="0" collapsed="false">
      <c r="A8" s="0"/>
      <c r="B8" s="3" t="s">
        <v>6</v>
      </c>
      <c r="C8" s="1" t="n">
        <v>0.3</v>
      </c>
      <c r="D8" s="1" t="s">
        <v>7</v>
      </c>
      <c r="F8" s="0"/>
      <c r="G8" s="0"/>
      <c r="J8" s="1" t="s">
        <v>8</v>
      </c>
    </row>
    <row r="9" customFormat="false" ht="13.8" hidden="false" customHeight="false" outlineLevel="0" collapsed="false">
      <c r="A9" s="0"/>
      <c r="B9" s="3" t="s">
        <v>9</v>
      </c>
      <c r="C9" s="1" t="n">
        <f aca="false">C7*C8/100</f>
        <v>300</v>
      </c>
      <c r="D9" s="0"/>
      <c r="E9" s="0"/>
      <c r="F9" s="0"/>
      <c r="G9" s="0"/>
      <c r="J9" s="0"/>
    </row>
    <row r="10" customFormat="false" ht="13.8" hidden="false" customHeight="false" outlineLevel="0" collapsed="false">
      <c r="A10" s="0"/>
      <c r="B10" s="3" t="s">
        <v>10</v>
      </c>
      <c r="C10" s="1" t="n">
        <f aca="false">C7-C9</f>
        <v>99700</v>
      </c>
      <c r="D10" s="0"/>
      <c r="E10" s="0"/>
      <c r="F10" s="0"/>
      <c r="G10" s="0"/>
      <c r="J10" s="0"/>
    </row>
    <row r="11" customFormat="false" ht="12.8" hidden="false" customHeight="false" outlineLevel="0" collapsed="false">
      <c r="A11" s="0"/>
      <c r="B11" s="0"/>
      <c r="C11" s="0"/>
      <c r="D11" s="0"/>
      <c r="E11" s="0"/>
      <c r="F11" s="0"/>
      <c r="G11" s="0"/>
      <c r="J11" s="0"/>
    </row>
    <row r="12" customFormat="false" ht="12.8" hidden="false" customHeight="false" outlineLevel="0" collapsed="false">
      <c r="A12" s="0"/>
      <c r="B12" s="0"/>
      <c r="C12" s="0"/>
      <c r="D12" s="0"/>
      <c r="E12" s="0"/>
      <c r="F12" s="0"/>
      <c r="G12" s="0"/>
      <c r="J12" s="0"/>
    </row>
    <row r="13" customFormat="false" ht="12.8" hidden="false" customHeight="false" outlineLevel="0" collapsed="false">
      <c r="A13" s="0"/>
      <c r="B13" s="0"/>
      <c r="C13" s="0"/>
      <c r="D13" s="0"/>
      <c r="E13" s="0"/>
      <c r="F13" s="0"/>
      <c r="G13" s="0"/>
      <c r="J13" s="0"/>
    </row>
    <row r="14" customFormat="false" ht="13.8" hidden="false" customHeight="false" outlineLevel="0" collapsed="false">
      <c r="A14" s="0"/>
      <c r="B14" s="0"/>
      <c r="C14" s="3" t="s">
        <v>11</v>
      </c>
      <c r="D14" s="3" t="s">
        <v>12</v>
      </c>
      <c r="E14" s="3" t="s">
        <v>13</v>
      </c>
      <c r="F14" s="0"/>
      <c r="G14" s="0"/>
      <c r="J14" s="0"/>
    </row>
    <row r="15" customFormat="false" ht="13.8" hidden="false" customHeight="false" outlineLevel="0" collapsed="false">
      <c r="A15" s="0"/>
      <c r="B15" s="3" t="s">
        <v>14</v>
      </c>
      <c r="C15" s="1" t="n">
        <v>99</v>
      </c>
      <c r="D15" s="1" t="n">
        <f aca="false">C9*C15/100</f>
        <v>297</v>
      </c>
      <c r="E15" s="1" t="n">
        <f aca="false">C9*(100-C15)/100</f>
        <v>3</v>
      </c>
      <c r="F15" s="0"/>
      <c r="G15" s="0"/>
      <c r="J15" s="1" t="s">
        <v>15</v>
      </c>
    </row>
    <row r="16" customFormat="false" ht="13.8" hidden="false" customHeight="false" outlineLevel="0" collapsed="false">
      <c r="A16" s="0"/>
      <c r="B16" s="3" t="s">
        <v>16</v>
      </c>
      <c r="C16" s="1" t="n">
        <v>98</v>
      </c>
      <c r="D16" s="1" t="n">
        <f aca="false">C10*C16/100</f>
        <v>97706</v>
      </c>
      <c r="E16" s="1" t="n">
        <f aca="false">C10*(100-C16)/100</f>
        <v>1994</v>
      </c>
      <c r="F16" s="0"/>
      <c r="G16" s="0"/>
      <c r="J16" s="1" t="s">
        <v>17</v>
      </c>
    </row>
    <row r="17" customFormat="false" ht="13.8" hidden="false" customHeight="false" outlineLevel="0" collapsed="false">
      <c r="A17" s="0"/>
      <c r="B17" s="0"/>
      <c r="D17" s="0"/>
      <c r="E17" s="0"/>
      <c r="F17" s="0"/>
      <c r="G17" s="0"/>
      <c r="J17" s="0" t="s">
        <v>18</v>
      </c>
    </row>
    <row r="18" customFormat="false" ht="12.8" hidden="false" customHeight="false" outlineLevel="0" collapsed="false">
      <c r="A18" s="0"/>
      <c r="B18" s="0"/>
      <c r="C18" s="0"/>
      <c r="D18" s="0"/>
      <c r="E18" s="0"/>
      <c r="F18" s="0"/>
      <c r="G18" s="0"/>
      <c r="J18" s="0"/>
    </row>
    <row r="19" customFormat="false" ht="12.8" hidden="false" customHeight="false" outlineLevel="0" collapsed="false">
      <c r="A19" s="0"/>
      <c r="B19" s="0"/>
      <c r="C19" s="0"/>
      <c r="D19" s="0"/>
      <c r="E19" s="0"/>
      <c r="F19" s="0"/>
      <c r="G19" s="0"/>
      <c r="J19" s="0"/>
    </row>
    <row r="20" customFormat="false" ht="12.8" hidden="false" customHeight="false" outlineLevel="0" collapsed="false">
      <c r="A20" s="0"/>
      <c r="B20" s="0"/>
      <c r="C20" s="0"/>
      <c r="D20" s="0"/>
      <c r="E20" s="0"/>
      <c r="F20" s="0"/>
      <c r="G20" s="0"/>
      <c r="J20" s="0"/>
    </row>
    <row r="21" customFormat="false" ht="13.8" hidden="false" customHeight="false" outlineLevel="0" collapsed="false">
      <c r="A21" s="0"/>
      <c r="B21" s="0"/>
      <c r="C21" s="3" t="s">
        <v>3</v>
      </c>
      <c r="D21" s="0"/>
      <c r="E21" s="0"/>
      <c r="F21" s="0"/>
      <c r="G21" s="0"/>
      <c r="J21" s="0"/>
    </row>
    <row r="22" customFormat="false" ht="13.8" hidden="false" customHeight="false" outlineLevel="0" collapsed="false">
      <c r="A22" s="0"/>
      <c r="B22" s="3" t="s">
        <v>19</v>
      </c>
      <c r="C22" s="1" t="n">
        <f aca="false">D15+E16</f>
        <v>2291</v>
      </c>
      <c r="D22" s="0"/>
      <c r="E22" s="0"/>
      <c r="F22" s="0"/>
      <c r="G22" s="0"/>
      <c r="J22" s="1" t="s">
        <v>19</v>
      </c>
    </row>
    <row r="23" customFormat="false" ht="13.8" hidden="false" customHeight="false" outlineLevel="0" collapsed="false">
      <c r="A23" s="0"/>
      <c r="B23" s="3" t="s">
        <v>20</v>
      </c>
      <c r="C23" s="4" t="n">
        <f aca="false">(100/C22)*E16</f>
        <v>87.0362287210825</v>
      </c>
      <c r="D23" s="1" t="s">
        <v>7</v>
      </c>
      <c r="E23" s="0"/>
      <c r="F23" s="0"/>
      <c r="G23" s="0"/>
      <c r="J23" s="1" t="s">
        <v>21</v>
      </c>
    </row>
    <row r="24" customFormat="false" ht="12.8" hidden="false" customHeight="false" outlineLevel="0" collapsed="false">
      <c r="A24" s="0"/>
      <c r="B24" s="0"/>
      <c r="C24" s="0"/>
      <c r="D24" s="0"/>
      <c r="E24" s="0"/>
      <c r="F24" s="0"/>
      <c r="G24" s="0"/>
      <c r="J24" s="0"/>
    </row>
    <row r="25" customFormat="false" ht="12.8" hidden="false" customHeight="false" outlineLevel="0" collapsed="false">
      <c r="A25" s="0"/>
      <c r="B25" s="0"/>
      <c r="C25" s="0"/>
      <c r="D25" s="0"/>
      <c r="E25" s="0"/>
      <c r="F25" s="0"/>
      <c r="G25" s="0"/>
      <c r="J25" s="0"/>
    </row>
    <row r="26" customFormat="false" ht="12.8" hidden="false" customHeight="false" outlineLevel="0" collapsed="false">
      <c r="A26" s="0"/>
      <c r="B26" s="0"/>
      <c r="C26" s="0"/>
      <c r="D26" s="0"/>
      <c r="E26" s="0"/>
      <c r="F26" s="0"/>
      <c r="G26" s="0"/>
      <c r="J26" s="0"/>
    </row>
    <row r="27" customFormat="false" ht="12.8" hidden="false" customHeight="false" outlineLevel="0" collapsed="false">
      <c r="A27" s="0"/>
      <c r="B27" s="0"/>
      <c r="C27" s="0"/>
      <c r="D27" s="0"/>
      <c r="E27" s="0"/>
      <c r="F27" s="0"/>
      <c r="G27" s="0"/>
      <c r="J27" s="0"/>
    </row>
    <row r="28" customFormat="false" ht="12.8" hidden="false" customHeight="false" outlineLevel="0" collapsed="false">
      <c r="A28" s="0"/>
      <c r="B28" s="0"/>
      <c r="C28" s="0"/>
      <c r="D28" s="0"/>
      <c r="E28" s="0"/>
      <c r="F28" s="0"/>
      <c r="G28" s="0"/>
      <c r="J28" s="0"/>
    </row>
    <row r="29" customFormat="false" ht="12.8" hidden="false" customHeight="false" outlineLevel="0" collapsed="false">
      <c r="A29" s="0"/>
      <c r="B29" s="5" t="s">
        <v>22</v>
      </c>
      <c r="C29" s="5" t="s">
        <v>23</v>
      </c>
      <c r="D29" s="5" t="s">
        <v>24</v>
      </c>
      <c r="E29" s="5" t="s">
        <v>25</v>
      </c>
      <c r="F29" s="0"/>
      <c r="G29" s="0"/>
      <c r="J29" s="0"/>
    </row>
    <row r="30" customFormat="false" ht="12.8" hidden="false" customHeight="false" outlineLevel="0" collapsed="false">
      <c r="A30" s="0"/>
      <c r="B30" s="1" t="s">
        <v>26</v>
      </c>
      <c r="C30" s="1" t="n">
        <v>660149</v>
      </c>
      <c r="D30" s="1" t="n">
        <v>18376</v>
      </c>
      <c r="E30" s="1" t="n">
        <f aca="false">100/C30*D30</f>
        <v>2.78361400229342</v>
      </c>
      <c r="F30" s="0"/>
      <c r="G30" s="0"/>
      <c r="J30" s="1" t="s">
        <v>27</v>
      </c>
    </row>
    <row r="31" customFormat="false" ht="12.8" hidden="false" customHeight="false" outlineLevel="0" collapsed="false">
      <c r="A31" s="0"/>
      <c r="B31" s="1" t="s">
        <v>28</v>
      </c>
      <c r="C31" s="1" t="n">
        <v>5874000</v>
      </c>
      <c r="D31" s="1" t="n">
        <v>198355</v>
      </c>
      <c r="E31" s="1" t="n">
        <f aca="false">100/C31*D31</f>
        <v>3.37683009874021</v>
      </c>
      <c r="F31" s="0"/>
      <c r="G31" s="0"/>
      <c r="J31" s="0"/>
    </row>
    <row r="32" customFormat="false" ht="12.8" hidden="false" customHeight="false" outlineLevel="0" collapsed="false">
      <c r="A32" s="0"/>
      <c r="B32" s="0"/>
      <c r="C32" s="0"/>
      <c r="D32" s="0"/>
      <c r="E32" s="0"/>
      <c r="F32" s="0"/>
      <c r="G32" s="0"/>
      <c r="J32" s="0"/>
    </row>
    <row r="33" customFormat="false" ht="12.8" hidden="false" customHeight="false" outlineLevel="0" collapsed="false">
      <c r="A33" s="0"/>
      <c r="B33" s="0"/>
      <c r="C33" s="0"/>
      <c r="D33" s="0"/>
      <c r="E33" s="0"/>
      <c r="F33" s="0"/>
      <c r="G33" s="0"/>
      <c r="J33" s="0"/>
    </row>
    <row r="34" customFormat="false" ht="12.8" hidden="false" customHeight="false" outlineLevel="0" collapsed="false">
      <c r="A34" s="0"/>
      <c r="B34" s="0"/>
      <c r="C34" s="0"/>
      <c r="D34" s="0"/>
      <c r="E34" s="0"/>
      <c r="F34" s="0"/>
      <c r="G34" s="0"/>
      <c r="J34" s="0"/>
    </row>
    <row r="35" customFormat="false" ht="12.8" hidden="false" customHeight="false" outlineLevel="0" collapsed="false">
      <c r="A35" s="0"/>
      <c r="B35" s="0"/>
      <c r="C35" s="0"/>
      <c r="D35" s="0"/>
      <c r="E35" s="0"/>
      <c r="F35" s="0"/>
      <c r="G35" s="0"/>
      <c r="J35" s="0"/>
    </row>
    <row r="36" customFormat="false" ht="12.8" hidden="false" customHeight="false" outlineLevel="0" collapsed="false">
      <c r="A36" s="0"/>
      <c r="B36" s="0"/>
      <c r="C36" s="0"/>
      <c r="D36" s="0"/>
      <c r="E36" s="0"/>
      <c r="F36" s="0"/>
      <c r="G36" s="0"/>
      <c r="J36" s="0"/>
    </row>
    <row r="37" customFormat="false" ht="12.8" hidden="false" customHeight="false" outlineLevel="0" collapsed="false">
      <c r="A37" s="0"/>
      <c r="B37" s="0"/>
      <c r="C37" s="0"/>
      <c r="D37" s="0"/>
      <c r="E37" s="0"/>
      <c r="F37" s="0"/>
      <c r="G37" s="0"/>
      <c r="J37" s="0"/>
    </row>
    <row r="38" customFormat="false" ht="12.8" hidden="false" customHeight="false" outlineLevel="0" collapsed="false">
      <c r="A38" s="0"/>
      <c r="B38" s="0"/>
      <c r="C38" s="0"/>
      <c r="D38" s="0"/>
      <c r="E38" s="0"/>
      <c r="F38" s="0"/>
      <c r="G38" s="0"/>
      <c r="J38" s="0"/>
    </row>
    <row r="39" customFormat="false" ht="12.8" hidden="false" customHeight="false" outlineLevel="0" collapsed="false">
      <c r="A39" s="0"/>
      <c r="B39" s="0"/>
      <c r="C39" s="0"/>
      <c r="D39" s="0"/>
      <c r="E39" s="0"/>
      <c r="F39" s="0"/>
      <c r="G39" s="0"/>
      <c r="J39" s="0"/>
    </row>
    <row r="40" customFormat="false" ht="12.8" hidden="false" customHeight="false" outlineLevel="0" collapsed="false">
      <c r="A40" s="0"/>
      <c r="B40" s="5" t="s">
        <v>29</v>
      </c>
      <c r="C40" s="5"/>
      <c r="D40" s="6"/>
      <c r="E40" s="7"/>
      <c r="F40" s="8"/>
      <c r="G40" s="9"/>
      <c r="J40" s="1" t="s">
        <v>30</v>
      </c>
    </row>
    <row r="41" customFormat="false" ht="13.8" hidden="false" customHeight="false" outlineLevel="0" collapsed="false">
      <c r="A41" s="0"/>
      <c r="B41" s="0"/>
      <c r="C41" s="1" t="s">
        <v>31</v>
      </c>
      <c r="D41" s="10" t="n">
        <v>1</v>
      </c>
      <c r="E41" s="10" t="n">
        <v>0</v>
      </c>
      <c r="F41" s="10"/>
      <c r="G41" s="10"/>
      <c r="J41" s="0"/>
    </row>
    <row r="42" customFormat="false" ht="13.8" hidden="false" customHeight="false" outlineLevel="0" collapsed="false">
      <c r="A42" s="0"/>
      <c r="B42" s="8"/>
      <c r="C42" s="10" t="n">
        <v>1</v>
      </c>
      <c r="D42" s="1" t="s">
        <v>32</v>
      </c>
      <c r="E42" s="1" t="s">
        <v>33</v>
      </c>
      <c r="F42" s="0"/>
      <c r="G42" s="0"/>
      <c r="J42" s="0"/>
    </row>
    <row r="43" customFormat="false" ht="13.8" hidden="false" customHeight="false" outlineLevel="0" collapsed="false">
      <c r="A43" s="0"/>
      <c r="B43" s="9"/>
      <c r="C43" s="10" t="n">
        <v>0</v>
      </c>
      <c r="D43" s="1" t="s">
        <v>33</v>
      </c>
      <c r="E43" s="1" t="s">
        <v>34</v>
      </c>
      <c r="F43" s="0"/>
      <c r="G43" s="0"/>
      <c r="J43" s="0"/>
    </row>
    <row r="44" customFormat="false" ht="13.8" hidden="false" customHeight="false" outlineLevel="0" collapsed="false">
      <c r="A44" s="0"/>
      <c r="B44" s="8"/>
      <c r="C44" s="10"/>
      <c r="D44" s="0"/>
      <c r="E44" s="0"/>
      <c r="F44" s="0"/>
      <c r="G44" s="0"/>
      <c r="J44" s="0"/>
    </row>
    <row r="45" customFormat="false" ht="13.8" hidden="false" customHeight="false" outlineLevel="0" collapsed="false">
      <c r="A45" s="0"/>
      <c r="B45" s="9"/>
      <c r="C45" s="10"/>
      <c r="D45" s="0"/>
      <c r="E45" s="0"/>
      <c r="F45" s="0"/>
      <c r="G45" s="0"/>
      <c r="J45" s="0"/>
    </row>
    <row r="46" customFormat="false" ht="12.8" hidden="false" customHeight="false" outlineLevel="0" collapsed="false">
      <c r="A46" s="0"/>
      <c r="B46" s="0"/>
      <c r="C46" s="10"/>
      <c r="D46" s="0"/>
      <c r="E46" s="0"/>
      <c r="F46" s="0"/>
      <c r="G46" s="0"/>
      <c r="J46" s="0"/>
    </row>
    <row r="47" customFormat="false" ht="12.8" hidden="false" customHeight="false" outlineLevel="0" collapsed="false">
      <c r="A47" s="0"/>
      <c r="B47" s="0"/>
      <c r="C47" s="10"/>
      <c r="D47" s="0"/>
      <c r="E47" s="0"/>
      <c r="F47" s="0"/>
      <c r="G47" s="0"/>
      <c r="J47" s="0"/>
    </row>
    <row r="48" customFormat="false" ht="12.8" hidden="false" customHeight="false" outlineLevel="0" collapsed="false">
      <c r="A48" s="0"/>
      <c r="B48" s="0"/>
      <c r="C48" s="10"/>
      <c r="D48" s="0"/>
      <c r="E48" s="0"/>
      <c r="F48" s="0"/>
      <c r="G48" s="0"/>
      <c r="J48" s="0"/>
    </row>
    <row r="49" customFormat="false" ht="13.8" hidden="false" customHeight="false" outlineLevel="0" collapsed="false">
      <c r="A49" s="0"/>
      <c r="B49" s="0"/>
      <c r="C49" s="10"/>
      <c r="D49" s="0"/>
      <c r="E49" s="0"/>
      <c r="F49" s="0"/>
      <c r="G49" s="0"/>
      <c r="J49" s="0"/>
    </row>
    <row r="50" customFormat="false" ht="13.8" hidden="false" customHeight="false" outlineLevel="0" collapsed="false">
      <c r="B50" s="5" t="s">
        <v>35</v>
      </c>
      <c r="C50" s="11"/>
      <c r="D50" s="6"/>
      <c r="E50" s="7"/>
      <c r="F50" s="8"/>
      <c r="G50" s="0"/>
      <c r="J50" s="0"/>
    </row>
    <row r="51" customFormat="false" ht="13.8" hidden="false" customHeight="false" outlineLevel="0" collapsed="false">
      <c r="B51" s="0"/>
      <c r="C51" s="10" t="s">
        <v>31</v>
      </c>
      <c r="D51" s="10" t="n">
        <v>1</v>
      </c>
      <c r="E51" s="10" t="n">
        <v>0</v>
      </c>
      <c r="F51" s="10"/>
      <c r="G51" s="10"/>
      <c r="J51" s="0"/>
    </row>
    <row r="52" customFormat="false" ht="13.8" hidden="false" customHeight="false" outlineLevel="0" collapsed="false">
      <c r="B52" s="8"/>
      <c r="C52" s="10" t="n">
        <v>1</v>
      </c>
      <c r="D52" s="1" t="s">
        <v>32</v>
      </c>
      <c r="E52" s="1" t="s">
        <v>32</v>
      </c>
      <c r="F52" s="0"/>
      <c r="G52" s="0"/>
      <c r="J52" s="0"/>
    </row>
    <row r="53" customFormat="false" ht="13.8" hidden="false" customHeight="false" outlineLevel="0" collapsed="false">
      <c r="B53" s="9"/>
      <c r="C53" s="10" t="n">
        <v>0</v>
      </c>
      <c r="D53" s="1" t="s">
        <v>32</v>
      </c>
      <c r="E53" s="1" t="s">
        <v>34</v>
      </c>
      <c r="F53" s="0"/>
      <c r="G53" s="0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H7:N2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N19" activeCellId="0" sqref="N19"/>
    </sheetView>
  </sheetViews>
  <sheetFormatPr defaultColWidth="8.41796875" defaultRowHeight="15" zeroHeight="false" outlineLevelRow="0" outlineLevelCol="0"/>
  <sheetData>
    <row r="7" customFormat="false" ht="15" hidden="false" customHeight="false" outlineLevel="0" collapsed="false">
      <c r="L7" s="0" t="s">
        <v>36</v>
      </c>
      <c r="M7" s="0" t="n">
        <v>770</v>
      </c>
    </row>
    <row r="8" customFormat="false" ht="15" hidden="false" customHeight="false" outlineLevel="0" collapsed="false">
      <c r="L8" s="0" t="s">
        <v>37</v>
      </c>
      <c r="M8" s="0" t="n">
        <v>1291</v>
      </c>
    </row>
    <row r="9" customFormat="false" ht="15" hidden="false" customHeight="false" outlineLevel="0" collapsed="false">
      <c r="L9" s="0" t="s">
        <v>38</v>
      </c>
      <c r="M9" s="0" t="n">
        <v>1571</v>
      </c>
    </row>
    <row r="10" customFormat="false" ht="13.8" hidden="false" customHeight="false" outlineLevel="0" collapsed="false">
      <c r="H10" s="0" t="s">
        <v>39</v>
      </c>
      <c r="I10" s="0" t="n">
        <v>2616</v>
      </c>
      <c r="L10" s="0" t="s">
        <v>40</v>
      </c>
      <c r="M10" s="0" t="n">
        <v>1667</v>
      </c>
    </row>
    <row r="11" customFormat="false" ht="15" hidden="false" customHeight="false" outlineLevel="0" collapsed="false">
      <c r="H11" s="0" t="s">
        <v>41</v>
      </c>
      <c r="I11" s="0" t="n">
        <v>3396</v>
      </c>
      <c r="L11" s="0" t="s">
        <v>42</v>
      </c>
      <c r="M11" s="0" t="n">
        <v>1869</v>
      </c>
    </row>
    <row r="12" customFormat="false" ht="15" hidden="false" customHeight="false" outlineLevel="0" collapsed="false">
      <c r="H12" s="0" t="s">
        <v>43</v>
      </c>
      <c r="I12" s="0" t="n">
        <v>2416</v>
      </c>
      <c r="L12" s="0" t="s">
        <v>44</v>
      </c>
      <c r="M12" s="0" t="n">
        <v>1478</v>
      </c>
    </row>
    <row r="13" customFormat="false" ht="15" hidden="false" customHeight="false" outlineLevel="0" collapsed="false">
      <c r="H13" s="0" t="s">
        <v>45</v>
      </c>
      <c r="I13" s="0" t="n">
        <v>1071</v>
      </c>
      <c r="L13" s="0" t="s">
        <v>46</v>
      </c>
      <c r="M13" s="0" t="n">
        <v>516</v>
      </c>
    </row>
    <row r="14" customFormat="false" ht="13.8" hidden="false" customHeight="false" outlineLevel="0" collapsed="false">
      <c r="H14" s="0" t="s">
        <v>46</v>
      </c>
      <c r="I14" s="0" t="n">
        <f aca="false">SUM(I10:I13)</f>
        <v>9499</v>
      </c>
      <c r="M14" s="0" t="n">
        <f aca="false">SUM(M7:M13)</f>
        <v>9162</v>
      </c>
    </row>
    <row r="15" customFormat="false" ht="13.8" hidden="false" customHeight="false" outlineLevel="0" collapsed="false">
      <c r="H15" s="0" t="s">
        <v>44</v>
      </c>
    </row>
    <row r="16" customFormat="false" ht="13.8" hidden="false" customHeight="false" outlineLevel="0" collapsed="false">
      <c r="H16" s="0" t="s">
        <v>42</v>
      </c>
    </row>
    <row r="18" customFormat="false" ht="13.8" hidden="false" customHeight="false" outlineLevel="0" collapsed="false">
      <c r="K18" s="0" t="n">
        <v>164742</v>
      </c>
      <c r="N18" s="0" t="n">
        <f aca="false">(100/164742)*9162</f>
        <v>5.56142331645846</v>
      </c>
    </row>
    <row r="20" customFormat="false" ht="15" hidden="false" customHeight="false" outlineLevel="0" collapsed="false">
      <c r="H20" s="0" t="s">
        <v>47</v>
      </c>
      <c r="I20" s="0" t="n">
        <v>727</v>
      </c>
    </row>
    <row r="21" customFormat="false" ht="13.8" hidden="false" customHeight="false" outlineLevel="0" collapsed="false">
      <c r="H21" s="0" t="s">
        <v>48</v>
      </c>
      <c r="I21" s="0" t="n">
        <v>804</v>
      </c>
    </row>
    <row r="22" customFormat="false" ht="15" hidden="false" customHeight="false" outlineLevel="0" collapsed="false">
      <c r="H22" s="0" t="s">
        <v>49</v>
      </c>
      <c r="I22" s="0" t="n">
        <v>684</v>
      </c>
    </row>
    <row r="23" customFormat="false" ht="15" hidden="false" customHeight="false" outlineLevel="0" collapsed="false">
      <c r="H23" s="0" t="s">
        <v>50</v>
      </c>
      <c r="I23" s="0" t="n">
        <v>687</v>
      </c>
    </row>
    <row r="24" customFormat="false" ht="15" hidden="false" customHeight="false" outlineLevel="0" collapsed="false">
      <c r="H24" s="0" t="s">
        <v>51</v>
      </c>
      <c r="I24" s="0" t="n">
        <v>694</v>
      </c>
    </row>
    <row r="25" customFormat="false" ht="15" hidden="false" customHeight="false" outlineLevel="0" collapsed="false">
      <c r="H25" s="0" t="s">
        <v>52</v>
      </c>
      <c r="I25" s="0" t="n">
        <v>364</v>
      </c>
    </row>
    <row r="26" customFormat="false" ht="15" hidden="false" customHeight="false" outlineLevel="0" collapsed="false">
      <c r="H26" s="0" t="s">
        <v>53</v>
      </c>
      <c r="I26" s="0" t="n">
        <v>315</v>
      </c>
    </row>
    <row r="27" customFormat="false" ht="13.8" hidden="false" customHeight="false" outlineLevel="0" collapsed="false">
      <c r="I27" s="0" t="n">
        <f aca="false">SUM(I20:I26)</f>
        <v>4275</v>
      </c>
      <c r="K27" s="0" t="n">
        <v>75171</v>
      </c>
      <c r="N27" s="0" t="n">
        <f aca="false">(100/75171)*4275</f>
        <v>5.68703356347528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41796875" defaultRowHeight="15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2020-07-25T10:53:07Z</dcterms:created>
  <dc:creator>Windows-Benutzer</dc:creator>
  <dc:description/>
  <dc:language>en-US</dc:language>
  <cp:lastModifiedBy/>
  <dcterms:modified xsi:type="dcterms:W3CDTF">2023-02-12T22:26:20Z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